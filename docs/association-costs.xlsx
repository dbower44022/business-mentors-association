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Recurring costs" sheetId="2" state="visible" r:id="rId4"/>
    <sheet name="Annual total" sheetId="3" state="visible" r:id="rId5"/>
    <sheet name="Dues by band" sheetId="4" state="visible" r:id="rId6"/>
    <sheet name="Notes and sources" sheetId="5" state="visible" r:id="rId7"/>
    <sheet name="Chapter cos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<sst xmlns="http://schemas.openxmlformats.org/spreadsheetml/2006/main" count="180" uniqueCount="160">
  <si>
    <t xml:space="preserve">Business Mentors Association — cost assumptions</t>
  </si>
  <si>
    <t xml:space="preserve">Blue cells are inputs. Yellow cells are the key levers. Black cells are calculated.</t>
  </si>
  <si>
    <t xml:space="preserve">Input</t>
  </si>
  <si>
    <t xml:space="preserve">Value</t>
  </si>
  <si>
    <t xml:space="preserve">Note</t>
  </si>
  <si>
    <t xml:space="preserve">Account owners with paid mailboxes</t>
  </si>
  <si>
    <t xml:space="preserve">Ruling 18: at least two owners</t>
  </si>
  <si>
    <t xml:space="preserve">People in the password vault</t>
  </si>
  <si>
    <t xml:space="preserve">Business plans require at least 3</t>
  </si>
  <si>
    <t xml:space="preserve">People in the request system</t>
  </si>
  <si>
    <t xml:space="preserve">Support team size</t>
  </si>
  <si>
    <t xml:space="preserve">Fiscal sponsor fee</t>
  </si>
  <si>
    <t xml:space="preserve">Published range 5%-15%; 3%-8% for the lighter form</t>
  </si>
  <si>
    <t xml:space="preserve">Contingency</t>
  </si>
  <si>
    <t xml:space="preserve">Rule of thumb</t>
  </si>
  <si>
    <t xml:space="preserve">Anthropic nonprofit discount</t>
  </si>
  <si>
    <t xml:space="preserve">Stated by Doug 09-19-26</t>
  </si>
  <si>
    <t xml:space="preserve">Google Workspace nonprofit price</t>
  </si>
  <si>
    <t xml:space="preserve">Free edition once qualified (stated by Doug)</t>
  </si>
  <si>
    <t xml:space="preserve">Federal exemption application fee</t>
  </si>
  <si>
    <t xml:space="preserve">$600 full form; $275 short form if receipts stay under $50,000</t>
  </si>
  <si>
    <t xml:space="preserve">Advanced Pack nonprofit price</t>
  </si>
  <si>
    <t xml:space="preserve">EspoCRM nonprofit price for the Advanced Pack extension, per year (stated by Doug 09-20-26)</t>
  </si>
  <si>
    <t xml:space="preserve">Recurring annual costs — the Association's own</t>
  </si>
  <si>
    <t xml:space="preserve">Column F is today's price. Column H applies the nonprofit programs once the Association qualifies. Blue = input, black = calculated.</t>
  </si>
  <si>
    <t xml:space="preserve">Category</t>
  </si>
  <si>
    <t xml:space="preserve">Item</t>
  </si>
  <si>
    <t xml:space="preserve">Unit price</t>
  </si>
  <si>
    <t xml:space="preserve">Quantity</t>
  </si>
  <si>
    <t xml:space="preserve">Times per year</t>
  </si>
  <si>
    <t xml:space="preserve">Annual — standard</t>
  </si>
  <si>
    <t xml:space="preserve">Nonprofit factor</t>
  </si>
  <si>
    <t xml:space="preserve">Annual — nonprofit</t>
  </si>
  <si>
    <t xml:space="preserve">Note and source</t>
  </si>
  <si>
    <t xml:space="preserve">Infrastructure</t>
  </si>
  <si>
    <t xml:space="preserve">Domain name (Cloudflare, at cost)</t>
  </si>
  <si>
    <t xml:space="preserve">Estimate; not checked at the registrar</t>
  </si>
  <si>
    <t xml:space="preserve">Shared test system - CRM server (4 GB)</t>
  </si>
  <si>
    <t xml:space="preserve">DigitalOcean published price</t>
  </si>
  <si>
    <t xml:space="preserve">Shared test system - server backups</t>
  </si>
  <si>
    <t xml:space="preserve">20% of the server price (published)</t>
  </si>
  <si>
    <t xml:space="preserve">Shared test system - application container</t>
  </si>
  <si>
    <t xml:space="preserve">Published range $5-$12; check Cleveland's bill</t>
  </si>
  <si>
    <t xml:space="preserve">Shared test system - application database</t>
  </si>
  <si>
    <t xml:space="preserve">$7 development database; a managed database costs more</t>
  </si>
  <si>
    <t xml:space="preserve">EspoCRM Advanced Pack licence (test CRM)</t>
  </si>
  <si>
    <t xml:space="preserve">Standard $395 a year; $295 a year on the EspoCRM nonprofit price (both stated by Doug). One licence may cover a buyer own test and production systems - not settled for the Association</t>
  </si>
  <si>
    <t xml:space="preserve">Tools</t>
  </si>
  <si>
    <t xml:space="preserve">Google Workspace mailboxes</t>
  </si>
  <si>
    <t xml:space="preserve">$7 per person per month on the annual plan. Free nonprofit edition once qualified (stated by Doug)</t>
  </si>
  <si>
    <t xml:space="preserve">Password vault (Proton Pass Professional)</t>
  </si>
  <si>
    <t xml:space="preserve">Published third-party summary; Essentials is $1.99</t>
  </si>
  <si>
    <t xml:space="preserve">Request system (ClickUp Unlimited)</t>
  </si>
  <si>
    <t xml:space="preserve">Published. The free plan may be enough - set quantity to 0 to test that</t>
  </si>
  <si>
    <t xml:space="preserve">AI development tool (Claude Max)</t>
  </si>
  <si>
    <t xml:space="preserve">Published. $200 for the larger plan. Nonprofit discount stated by Doug</t>
  </si>
  <si>
    <t xml:space="preserve">GitHub organization</t>
  </si>
  <si>
    <t xml:space="preserve">Free plan</t>
  </si>
  <si>
    <t xml:space="preserve">Organization</t>
  </si>
  <si>
    <t xml:space="preserve">Directors and officers insurance</t>
  </si>
  <si>
    <t xml:space="preserve">Published average. May be $0 if the fiscal sponsor's policy covers sponsored programs</t>
  </si>
  <si>
    <t xml:space="preserve">General liability insurance</t>
  </si>
  <si>
    <t xml:space="preserve">Published average. Same note as above</t>
  </si>
  <si>
    <t xml:space="preserve">Cyber liability insurance</t>
  </si>
  <si>
    <t xml:space="preserve">PRICE NEEDED - volunteers can reach chapters' systems, which hold client and mentor records</t>
  </si>
  <si>
    <t xml:space="preserve">Subtotal — recurring costs</t>
  </si>
  <si>
    <t xml:space="preserve">Annual total and dues</t>
  </si>
  <si>
    <t xml:space="preserve">Line</t>
  </si>
  <si>
    <t xml:space="preserve">Standard prices</t>
  </si>
  <si>
    <t xml:space="preserve">With nonprofit programs</t>
  </si>
  <si>
    <t xml:space="preserve">Recurring costs (from the previous sheet)</t>
  </si>
  <si>
    <t xml:space="preserve">Fiscal sponsor's fee</t>
  </si>
  <si>
    <t xml:space="preserve">Annual total to be covered by dues</t>
  </si>
  <si>
    <t xml:space="preserve">One-time starting costs</t>
  </si>
  <si>
    <t xml:space="preserve">Amount</t>
  </si>
  <si>
    <t xml:space="preserve">Ohio articles of incorporation (nonprofit)</t>
  </si>
  <si>
    <t xml:space="preserve">Published</t>
  </si>
  <si>
    <t xml:space="preserve">Federal tax-exemption application</t>
  </si>
  <si>
    <t xml:space="preserve">$600 full form; $275 short form</t>
  </si>
  <si>
    <t xml:space="preserve">Nonprofit attorney review</t>
  </si>
  <si>
    <t xml:space="preserve">PRICE NEEDED - ask for a quote</t>
  </si>
  <si>
    <t xml:space="preserve">Total one-time</t>
  </si>
  <si>
    <t xml:space="preserve">Dues by size band</t>
  </si>
  <si>
    <t xml:space="preserve">Ruling 11: larger chapters pay more and carry more votes. Enter the number of chapters in each band and the share each band carries. Dues are the annual total split in proportion to those shares.</t>
  </si>
  <si>
    <t xml:space="preserve">Band</t>
  </si>
  <si>
    <t xml:space="preserve">Chapters</t>
  </si>
  <si>
    <t xml:space="preserve">Share per chapter</t>
  </si>
  <si>
    <t xml:space="preserve">Dues per chapter — standard</t>
  </si>
  <si>
    <t xml:space="preserve">Dues per chapter — with nonprofit programs</t>
  </si>
  <si>
    <t xml:space="preserve">Band total — standard</t>
  </si>
  <si>
    <t xml:space="preserve">Band total — with nonprofit programs</t>
  </si>
  <si>
    <t xml:space="preserve">Small</t>
  </si>
  <si>
    <t xml:space="preserve">Medium</t>
  </si>
  <si>
    <t xml:space="preserve">Large</t>
  </si>
  <si>
    <t xml:space="preserve">Total chapters</t>
  </si>
  <si>
    <t xml:space="preserve">Total shares</t>
  </si>
  <si>
    <t xml:space="preserve">Total dues collected</t>
  </si>
  <si>
    <t xml:space="preserve">Example: with one chapter in each band and shares of 1, 2 and 3, the large chapter pays three times what the small one pays.</t>
  </si>
  <si>
    <t xml:space="preserve">Where each price came from</t>
  </si>
  <si>
    <t xml:space="preserve">Topic</t>
  </si>
  <si>
    <t xml:space="preserve">Detail</t>
  </si>
  <si>
    <t xml:space="preserve">Prices stated by Doug (09-19-26)</t>
  </si>
  <si>
    <t xml:space="preserve">EspoCRM Advanced Pack $395 a year. Anthropic offers nonprofits an 80% discount. Google Workspace has a free nonprofit edition once the Association qualifies.</t>
  </si>
  <si>
    <t xml:space="preserve">Nonprofit programs</t>
  </si>
  <si>
    <t xml:space="preserve">Both nonprofit programs need the Association to qualify as a nonprofit. Under fiscal sponsorship it may not qualify on its own, which is why the workbook keeps both columns.</t>
  </si>
  <si>
    <t xml:space="preserve">Google Workspace</t>
  </si>
  <si>
    <t xml:space="preserve">$7 per person per month on the annual plan: emailtooltester.com/en/blog/google-workspace-pricing/</t>
  </si>
  <si>
    <t xml:space="preserve">DigitalOcean</t>
  </si>
  <si>
    <t xml:space="preserve">Server and backup prices: digitalocean.com/pricing/droplets. Application and database prices: digitalocean.com/pricing/app-platform</t>
  </si>
  <si>
    <t xml:space="preserve">Proton Pass</t>
  </si>
  <si>
    <t xml:space="preserve">ifeeltech.com/blog/proton-pass-business-review</t>
  </si>
  <si>
    <t xml:space="preserve">ClickUp</t>
  </si>
  <si>
    <t xml:space="preserve">clickup.com/pricing</t>
  </si>
  <si>
    <t xml:space="preserve">Claude</t>
  </si>
  <si>
    <t xml:space="preserve">claude.com/pricing</t>
  </si>
  <si>
    <t xml:space="preserve">5%-15% of funds received; 3%-8% for the lighter form: holisticunderground.org/fiscal-sponsorship/fees</t>
  </si>
  <si>
    <t xml:space="preserve">Insurance</t>
  </si>
  <si>
    <t xml:space="preserve">D&amp;O about $800 a year, general liability about $500 a year: insureon.com/nonprofit-business-insurance/cost</t>
  </si>
  <si>
    <t xml:space="preserve">Filing fees</t>
  </si>
  <si>
    <t xml:space="preserve">Federal: irs.gov Form 1023 user fee. Ohio: $99 articles of incorporation.</t>
  </si>
  <si>
    <t xml:space="preserve">Not checked</t>
  </si>
  <si>
    <t xml:space="preserve">The test system's application and database prices are estimates. Cleveland's current bill is the better source.</t>
  </si>
  <si>
    <t xml:space="preserve">What a chapter pays itself, per year</t>
  </si>
  <si>
    <t xml:space="preserve">These are the chapter's own costs, paid directly in its own accounts. Association dues are NOT included here: the dues are not decided and are reported separately. Prices assume the chapter qualifies as a nonprofit, since membership is limited to nonprofits. Blue = input, black = calculated.</t>
  </si>
  <si>
    <t xml:space="preserve">Small — quantity</t>
  </si>
  <si>
    <t xml:space="preserve">Medium — quantity</t>
  </si>
  <si>
    <t xml:space="preserve">Large — quantity</t>
  </si>
  <si>
    <t xml:space="preserve">Small — annual</t>
  </si>
  <si>
    <t xml:space="preserve">Medium — annual</t>
  </si>
  <si>
    <t xml:space="preserve">Large — annual</t>
  </si>
  <si>
    <t xml:space="preserve">CRM server (4 GB)</t>
  </si>
  <si>
    <t xml:space="preserve">Same size as the trial chapter's. A large chapter may need more memory</t>
  </si>
  <si>
    <t xml:space="preserve">CRM server backups</t>
  </si>
  <si>
    <t xml:space="preserve">20 percent of the server price</t>
  </si>
  <si>
    <t xml:space="preserve">Application container</t>
  </si>
  <si>
    <t xml:space="preserve">Published range $5-$12 per month</t>
  </si>
  <si>
    <t xml:space="preserve">Application database</t>
  </si>
  <si>
    <t xml:space="preserve">Managed database for live data; the $7 development database is not suitable for production</t>
  </si>
  <si>
    <t xml:space="preserve">Domain name</t>
  </si>
  <si>
    <t xml:space="preserve">Most chapters already own one, so this may be $0</t>
  </si>
  <si>
    <t xml:space="preserve">Domain name records (Cloudflare)</t>
  </si>
  <si>
    <t xml:space="preserve">Google Workspace - staff mailboxes</t>
  </si>
  <si>
    <t xml:space="preserve">Free nonprofit edition. At standard prices this is $7 per person per month</t>
  </si>
  <si>
    <t xml:space="preserve">Google Workspace - mentor mailboxes</t>
  </si>
  <si>
    <t xml:space="preserve">Free nonprofit edition. Set the quantity to 0 if mentors use their own email</t>
  </si>
  <si>
    <t xml:space="preserve">Advanced Pack extension licence</t>
  </si>
  <si>
    <t xml:space="preserve">Nonprofit price stated by Doug; $395 standard</t>
  </si>
  <si>
    <t xml:space="preserve">Google Integration extension licence</t>
  </si>
  <si>
    <t xml:space="preserve">PRICE NEEDED - required by the network standard</t>
  </si>
  <si>
    <t xml:space="preserve">Password vault (Proton Pass)</t>
  </si>
  <si>
    <t xml:space="preserve">Business plans require at least 3 people</t>
  </si>
  <si>
    <t xml:space="preserve">Video meeting account (public webinars only)</t>
  </si>
  <si>
    <t xml:space="preserve">Estimate. Only a chapter that runs public webinars needs one</t>
  </si>
  <si>
    <t xml:space="preserve">Chapter's own costs — nonprofit prices</t>
  </si>
  <si>
    <t xml:space="preserve">Same chapter at standard prices (no nonprofit status)</t>
  </si>
  <si>
    <t xml:space="preserve">Mailboxes at $7 per person per month</t>
  </si>
  <si>
    <t xml:space="preserve">Advanced Pack at $395 instead of $295</t>
  </si>
  <si>
    <t xml:space="preserve">Chapter's own costs — standard prices</t>
  </si>
  <si>
    <t xml:space="preserve">Example sizes: small = 4 staff and 10 mentors; medium = 10 staff and 40 mentors; large = 20 staff and 100 mentors. Change any quantity to match a real chapter.</t>
  </si>
  <si>
    <t xml:space="preserve">Association dues are on the 'Dues by band' sheet and are not added here.</t>
  </si>
</sst>
</file>

<file path=xl/styles.xml><?xml version="1.0" encoding="utf-8"?>
<styleSheet xmlns="http://schemas.openxmlformats.org/spreadsheetml/2006/main">
  <numFmts count="8">
    <numFmt numFmtId="164" formatCode="General"/>
    <numFmt numFmtId="165" formatCode="0.0%"/>
    <numFmt numFmtId="166" formatCode="\$#,##0.00;&quot;($&quot;#,##0.00\);\-"/>
    <numFmt numFmtId="167" formatCode="\$#,##0;&quot;($&quot;#,##0\);\-"/>
    <numFmt numFmtId="168" formatCode="\$#,##0"/>
    <numFmt numFmtId="169" formatCode="General"/>
    <numFmt numFmtId="170" formatCode="\$#,##0.00;&quot;($&quot;#,##0.00\);\-"/>
    <numFmt numFmtId="171" formatCode="\$#,##0;&quot;($&quot;#,##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sz val="10"/>
      <color rgb="FF008000"/>
      <name val="Arial"/>
      <family val="0"/>
      <charset val="1"/>
    </font>
  </fonts>
  <fills count="4">
    <fill>
      <patternFill patternType="none"/>
    </fill>
    <fill>
      <patternFill patternType="gray125"/>
    </fill>
    <fill>
      <patternFill patternType="solid">
        <fgColor rgb="FFDDDDDD"/>
        <bgColor rgb="FFCCFFCC"/>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6" fontId="7" fillId="3" borderId="0" xfId="0" applyFont="true" applyBorder="false" applyAlignment="true" applyProtection="false">
      <alignment horizontal="general" vertical="bottom" textRotation="0" wrapText="false" indent="0" shrinkToFit="false"/>
      <protection locked="true" hidden="false"/>
    </xf>
    <xf numFmtId="167" fontId="7" fillId="3" borderId="0" xfId="0" applyFont="true" applyBorder="false" applyAlignment="true" applyProtection="false">
      <alignment horizontal="general" vertical="bottom" textRotation="0" wrapText="false" indent="0" shrinkToFit="false"/>
      <protection locked="true" hidden="false"/>
    </xf>
    <xf numFmtId="168" fontId="7" fillId="3"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70"/>
  </cols>
  <sheetData>
    <row r="1" customFormat="false" ht="1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row>
    <row r="5" customFormat="false" ht="15" hidden="false" customHeight="true" outlineLevel="0" collapsed="false">
      <c r="A5" s="3" t="s">
        <v>5</v>
      </c>
      <c r="B5" s="5" t="n">
        <v>2</v>
      </c>
      <c r="C5" s="3" t="s">
        <v>6</v>
      </c>
    </row>
    <row r="6" customFormat="false" ht="15" hidden="false" customHeight="true" outlineLevel="0" collapsed="false">
      <c r="A6" s="3" t="s">
        <v>7</v>
      </c>
      <c r="B6" s="5" t="n">
        <v>3</v>
      </c>
      <c r="C6" s="3" t="s">
        <v>8</v>
      </c>
    </row>
    <row r="7" customFormat="false" ht="15" hidden="false" customHeight="true" outlineLevel="0" collapsed="false">
      <c r="A7" s="3" t="s">
        <v>9</v>
      </c>
      <c r="B7" s="5" t="n">
        <v>3</v>
      </c>
      <c r="C7" s="3" t="s">
        <v>10</v>
      </c>
    </row>
    <row r="8" customFormat="false" ht="15" hidden="false" customHeight="true" outlineLevel="0" collapsed="false">
      <c r="A8" s="3" t="s">
        <v>11</v>
      </c>
      <c r="B8" s="6" t="n">
        <v>0.1</v>
      </c>
      <c r="C8" s="3" t="s">
        <v>12</v>
      </c>
    </row>
    <row r="9" customFormat="false" ht="15" hidden="false" customHeight="true" outlineLevel="0" collapsed="false">
      <c r="A9" s="3" t="s">
        <v>13</v>
      </c>
      <c r="B9" s="6" t="n">
        <v>0.1</v>
      </c>
      <c r="C9" s="3" t="s">
        <v>14</v>
      </c>
    </row>
    <row r="10" customFormat="false" ht="15" hidden="false" customHeight="true" outlineLevel="0" collapsed="false">
      <c r="A10" s="3" t="s">
        <v>15</v>
      </c>
      <c r="B10" s="6" t="n">
        <v>0.8</v>
      </c>
      <c r="C10" s="3" t="s">
        <v>16</v>
      </c>
    </row>
    <row r="11" customFormat="false" ht="15" hidden="false" customHeight="true" outlineLevel="0" collapsed="false">
      <c r="A11" s="3" t="s">
        <v>17</v>
      </c>
      <c r="B11" s="7" t="n">
        <v>0</v>
      </c>
      <c r="C11" s="3" t="s">
        <v>18</v>
      </c>
    </row>
    <row r="12" customFormat="false" ht="15" hidden="false" customHeight="true" outlineLevel="0" collapsed="false">
      <c r="A12" s="3" t="s">
        <v>19</v>
      </c>
      <c r="B12" s="8" t="n">
        <v>600</v>
      </c>
      <c r="C12" s="3" t="s">
        <v>20</v>
      </c>
    </row>
    <row r="13" customFormat="false" ht="15" hidden="false" customHeight="true" outlineLevel="0" collapsed="false">
      <c r="A13" s="3" t="s">
        <v>21</v>
      </c>
      <c r="B13" s="9" t="n">
        <v>295</v>
      </c>
      <c r="C13"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42"/>
    <col collapsed="false" customWidth="true" hidden="false" outlineLevel="0" max="3" min="3" style="1" width="12"/>
    <col collapsed="false" customWidth="true" hidden="false" outlineLevel="0" max="4" min="4" style="1" width="10"/>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60"/>
  </cols>
  <sheetData>
    <row r="1" customFormat="false" ht="15" hidden="false" customHeight="true" outlineLevel="0" collapsed="false">
      <c r="A1" s="2" t="s">
        <v>23</v>
      </c>
    </row>
    <row r="2" customFormat="false" ht="15" hidden="false" customHeight="true" outlineLevel="0" collapsed="false">
      <c r="A2" s="3" t="s">
        <v>24</v>
      </c>
    </row>
    <row r="4" customFormat="false" ht="15" hidden="false" customHeight="true" outlineLevel="0" collapsed="false">
      <c r="A4" s="10" t="s">
        <v>25</v>
      </c>
      <c r="B4" s="10" t="s">
        <v>26</v>
      </c>
      <c r="C4" s="10" t="s">
        <v>27</v>
      </c>
      <c r="D4" s="10" t="s">
        <v>28</v>
      </c>
      <c r="E4" s="10" t="s">
        <v>29</v>
      </c>
      <c r="F4" s="10" t="s">
        <v>30</v>
      </c>
      <c r="G4" s="10" t="s">
        <v>31</v>
      </c>
      <c r="H4" s="10" t="s">
        <v>32</v>
      </c>
      <c r="I4" s="10" t="s">
        <v>33</v>
      </c>
    </row>
    <row r="5" customFormat="false" ht="15" hidden="false" customHeight="true" outlineLevel="0" collapsed="false">
      <c r="A5" s="3" t="s">
        <v>34</v>
      </c>
      <c r="B5" s="3" t="s">
        <v>35</v>
      </c>
      <c r="C5" s="11" t="n">
        <v>11</v>
      </c>
      <c r="D5" s="12" t="n">
        <v>1</v>
      </c>
      <c r="E5" s="12" t="n">
        <v>1</v>
      </c>
      <c r="F5" s="13" t="n">
        <f aca="false">C5*D5*E5</f>
        <v>11</v>
      </c>
      <c r="G5" s="14" t="n">
        <v>1</v>
      </c>
      <c r="H5" s="13" t="n">
        <f aca="false">F5*G5</f>
        <v>11</v>
      </c>
      <c r="I5" s="15" t="s">
        <v>36</v>
      </c>
    </row>
    <row r="6" customFormat="false" ht="15" hidden="false" customHeight="true" outlineLevel="0" collapsed="false">
      <c r="A6" s="3" t="s">
        <v>34</v>
      </c>
      <c r="B6" s="3" t="s">
        <v>37</v>
      </c>
      <c r="C6" s="11" t="n">
        <v>24</v>
      </c>
      <c r="D6" s="12" t="n">
        <v>1</v>
      </c>
      <c r="E6" s="12" t="n">
        <v>12</v>
      </c>
      <c r="F6" s="13" t="n">
        <f aca="false">C6*D6*E6</f>
        <v>288</v>
      </c>
      <c r="G6" s="14" t="n">
        <v>1</v>
      </c>
      <c r="H6" s="13" t="n">
        <f aca="false">F6*G6</f>
        <v>288</v>
      </c>
      <c r="I6" s="15" t="s">
        <v>38</v>
      </c>
    </row>
    <row r="7" customFormat="false" ht="15" hidden="false" customHeight="true" outlineLevel="0" collapsed="false">
      <c r="A7" s="3" t="s">
        <v>34</v>
      </c>
      <c r="B7" s="3" t="s">
        <v>39</v>
      </c>
      <c r="C7" s="11" t="n">
        <v>4.8</v>
      </c>
      <c r="D7" s="12" t="n">
        <v>1</v>
      </c>
      <c r="E7" s="12" t="n">
        <v>12</v>
      </c>
      <c r="F7" s="13" t="n">
        <f aca="false">C7*D7*E7</f>
        <v>57.6</v>
      </c>
      <c r="G7" s="14" t="n">
        <v>1</v>
      </c>
      <c r="H7" s="13" t="n">
        <f aca="false">F7*G7</f>
        <v>57.6</v>
      </c>
      <c r="I7" s="15" t="s">
        <v>40</v>
      </c>
    </row>
    <row r="8" customFormat="false" ht="15" hidden="false" customHeight="true" outlineLevel="0" collapsed="false">
      <c r="A8" s="3" t="s">
        <v>34</v>
      </c>
      <c r="B8" s="3" t="s">
        <v>41</v>
      </c>
      <c r="C8" s="11" t="n">
        <v>12</v>
      </c>
      <c r="D8" s="12" t="n">
        <v>1</v>
      </c>
      <c r="E8" s="12" t="n">
        <v>12</v>
      </c>
      <c r="F8" s="13" t="n">
        <f aca="false">C8*D8*E8</f>
        <v>144</v>
      </c>
      <c r="G8" s="14" t="n">
        <v>1</v>
      </c>
      <c r="H8" s="13" t="n">
        <f aca="false">F8*G8</f>
        <v>144</v>
      </c>
      <c r="I8" s="15" t="s">
        <v>42</v>
      </c>
    </row>
    <row r="9" customFormat="false" ht="15" hidden="false" customHeight="true" outlineLevel="0" collapsed="false">
      <c r="A9" s="3" t="s">
        <v>34</v>
      </c>
      <c r="B9" s="3" t="s">
        <v>43</v>
      </c>
      <c r="C9" s="11" t="n">
        <v>7</v>
      </c>
      <c r="D9" s="12" t="n">
        <v>1</v>
      </c>
      <c r="E9" s="12" t="n">
        <v>12</v>
      </c>
      <c r="F9" s="13" t="n">
        <f aca="false">C9*D9*E9</f>
        <v>84</v>
      </c>
      <c r="G9" s="14" t="n">
        <v>1</v>
      </c>
      <c r="H9" s="13" t="n">
        <f aca="false">F9*G9</f>
        <v>84</v>
      </c>
      <c r="I9" s="15" t="s">
        <v>44</v>
      </c>
    </row>
    <row r="10" customFormat="false" ht="23.25" hidden="false" customHeight="true" outlineLevel="0" collapsed="false">
      <c r="A10" s="3" t="s">
        <v>34</v>
      </c>
      <c r="B10" s="3" t="s">
        <v>45</v>
      </c>
      <c r="C10" s="11" t="n">
        <v>395</v>
      </c>
      <c r="D10" s="12" t="n">
        <v>1</v>
      </c>
      <c r="E10" s="12" t="n">
        <v>1</v>
      </c>
      <c r="F10" s="13" t="n">
        <f aca="false">C10*D10*E10</f>
        <v>395</v>
      </c>
      <c r="G10" s="16" t="n">
        <f aca="false">Assumptions!$B$13/C10</f>
        <v>0.746835443037975</v>
      </c>
      <c r="H10" s="13" t="n">
        <f aca="false">F10*G10</f>
        <v>295</v>
      </c>
      <c r="I10" s="15" t="s">
        <v>46</v>
      </c>
    </row>
    <row r="11" customFormat="false" ht="23.25" hidden="false" customHeight="true" outlineLevel="0" collapsed="false">
      <c r="A11" s="3" t="s">
        <v>47</v>
      </c>
      <c r="B11" s="3" t="s">
        <v>48</v>
      </c>
      <c r="C11" s="11" t="n">
        <v>7</v>
      </c>
      <c r="D11" s="17" t="n">
        <f aca="false">Assumptions!$B$5</f>
        <v>2</v>
      </c>
      <c r="E11" s="12" t="n">
        <v>12</v>
      </c>
      <c r="F11" s="13" t="n">
        <f aca="false">C11*D11*E11</f>
        <v>168</v>
      </c>
      <c r="G11" s="16" t="n">
        <f aca="false">Assumptions!$B$11/C11</f>
        <v>0</v>
      </c>
      <c r="H11" s="13" t="n">
        <f aca="false">F11*G11</f>
        <v>0</v>
      </c>
      <c r="I11" s="15" t="s">
        <v>49</v>
      </c>
    </row>
    <row r="12" customFormat="false" ht="15" hidden="false" customHeight="true" outlineLevel="0" collapsed="false">
      <c r="A12" s="3" t="s">
        <v>47</v>
      </c>
      <c r="B12" s="3" t="s">
        <v>50</v>
      </c>
      <c r="C12" s="11" t="n">
        <v>4.49</v>
      </c>
      <c r="D12" s="17" t="n">
        <f aca="false">Assumptions!$B$6</f>
        <v>3</v>
      </c>
      <c r="E12" s="12" t="n">
        <v>12</v>
      </c>
      <c r="F12" s="13" t="n">
        <f aca="false">C12*D12*E12</f>
        <v>161.64</v>
      </c>
      <c r="G12" s="14" t="n">
        <v>1</v>
      </c>
      <c r="H12" s="13" t="n">
        <f aca="false">F12*G12</f>
        <v>161.64</v>
      </c>
      <c r="I12" s="15" t="s">
        <v>51</v>
      </c>
    </row>
    <row r="13" customFormat="false" ht="15" hidden="false" customHeight="true" outlineLevel="0" collapsed="false">
      <c r="A13" s="3" t="s">
        <v>47</v>
      </c>
      <c r="B13" s="3" t="s">
        <v>52</v>
      </c>
      <c r="C13" s="11" t="n">
        <v>7</v>
      </c>
      <c r="D13" s="17" t="n">
        <f aca="false">Assumptions!$B$7</f>
        <v>3</v>
      </c>
      <c r="E13" s="12" t="n">
        <v>12</v>
      </c>
      <c r="F13" s="13" t="n">
        <f aca="false">C13*D13*E13</f>
        <v>252</v>
      </c>
      <c r="G13" s="14" t="n">
        <v>1</v>
      </c>
      <c r="H13" s="13" t="n">
        <f aca="false">F13*G13</f>
        <v>252</v>
      </c>
      <c r="I13" s="15" t="s">
        <v>53</v>
      </c>
    </row>
    <row r="14" customFormat="false" ht="15" hidden="false" customHeight="true" outlineLevel="0" collapsed="false">
      <c r="A14" s="3" t="s">
        <v>47</v>
      </c>
      <c r="B14" s="3" t="s">
        <v>54</v>
      </c>
      <c r="C14" s="11" t="n">
        <v>100</v>
      </c>
      <c r="D14" s="12" t="n">
        <v>1</v>
      </c>
      <c r="E14" s="12" t="n">
        <v>12</v>
      </c>
      <c r="F14" s="13" t="n">
        <f aca="false">C14*D14*E14</f>
        <v>1200</v>
      </c>
      <c r="G14" s="16" t="n">
        <f aca="false">1-Assumptions!$B$10</f>
        <v>0.2</v>
      </c>
      <c r="H14" s="13" t="n">
        <f aca="false">F14*G14</f>
        <v>240</v>
      </c>
      <c r="I14" s="15" t="s">
        <v>55</v>
      </c>
    </row>
    <row r="15" customFormat="false" ht="15" hidden="false" customHeight="true" outlineLevel="0" collapsed="false">
      <c r="A15" s="3" t="s">
        <v>47</v>
      </c>
      <c r="B15" s="3" t="s">
        <v>56</v>
      </c>
      <c r="C15" s="11" t="n">
        <v>0</v>
      </c>
      <c r="D15" s="12" t="n">
        <v>1</v>
      </c>
      <c r="E15" s="12" t="n">
        <v>12</v>
      </c>
      <c r="F15" s="13" t="n">
        <f aca="false">C15*D15*E15</f>
        <v>0</v>
      </c>
      <c r="G15" s="14" t="n">
        <v>1</v>
      </c>
      <c r="H15" s="13" t="n">
        <f aca="false">F15*G15</f>
        <v>0</v>
      </c>
      <c r="I15" s="15" t="s">
        <v>57</v>
      </c>
    </row>
    <row r="16" customFormat="false" ht="23.25" hidden="false" customHeight="true" outlineLevel="0" collapsed="false">
      <c r="A16" s="3" t="s">
        <v>58</v>
      </c>
      <c r="B16" s="3" t="s">
        <v>59</v>
      </c>
      <c r="C16" s="11" t="n">
        <v>800</v>
      </c>
      <c r="D16" s="12" t="n">
        <v>1</v>
      </c>
      <c r="E16" s="12" t="n">
        <v>1</v>
      </c>
      <c r="F16" s="13" t="n">
        <f aca="false">C16*D16*E16</f>
        <v>800</v>
      </c>
      <c r="G16" s="14" t="n">
        <v>1</v>
      </c>
      <c r="H16" s="13" t="n">
        <f aca="false">F16*G16</f>
        <v>800</v>
      </c>
      <c r="I16" s="15" t="s">
        <v>60</v>
      </c>
    </row>
    <row r="17" customFormat="false" ht="15" hidden="false" customHeight="true" outlineLevel="0" collapsed="false">
      <c r="A17" s="3" t="s">
        <v>58</v>
      </c>
      <c r="B17" s="3" t="s">
        <v>61</v>
      </c>
      <c r="C17" s="11" t="n">
        <v>500</v>
      </c>
      <c r="D17" s="12" t="n">
        <v>1</v>
      </c>
      <c r="E17" s="12" t="n">
        <v>1</v>
      </c>
      <c r="F17" s="13" t="n">
        <f aca="false">C17*D17*E17</f>
        <v>500</v>
      </c>
      <c r="G17" s="14" t="n">
        <v>1</v>
      </c>
      <c r="H17" s="13" t="n">
        <f aca="false">F17*G17</f>
        <v>500</v>
      </c>
      <c r="I17" s="15" t="s">
        <v>62</v>
      </c>
    </row>
    <row r="18" customFormat="false" ht="23.25" hidden="false" customHeight="true" outlineLevel="0" collapsed="false">
      <c r="A18" s="3" t="s">
        <v>58</v>
      </c>
      <c r="B18" s="3" t="s">
        <v>63</v>
      </c>
      <c r="C18" s="11" t="n">
        <v>0</v>
      </c>
      <c r="D18" s="12" t="n">
        <v>1</v>
      </c>
      <c r="E18" s="12" t="n">
        <v>1</v>
      </c>
      <c r="F18" s="13" t="n">
        <f aca="false">C18*D18*E18</f>
        <v>0</v>
      </c>
      <c r="G18" s="14" t="n">
        <v>1</v>
      </c>
      <c r="H18" s="13" t="n">
        <f aca="false">F18*G18</f>
        <v>0</v>
      </c>
      <c r="I18" s="15" t="s">
        <v>64</v>
      </c>
    </row>
    <row r="19" customFormat="false" ht="15" hidden="false" customHeight="true" outlineLevel="0" collapsed="false">
      <c r="B19" s="18" t="s">
        <v>65</v>
      </c>
      <c r="F19" s="19" t="n">
        <f aca="false">SUM(F5:F18)</f>
        <v>4061.24</v>
      </c>
      <c r="H19" s="19" t="n">
        <f aca="false">SUM(H5:H18)</f>
        <v>2833.24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3" min="2" style="1" width="22"/>
    <col collapsed="false" customWidth="true" hidden="false" outlineLevel="0" max="4" min="4" style="1" width="50"/>
  </cols>
  <sheetData>
    <row r="1" customFormat="false" ht="15" hidden="false" customHeight="true" outlineLevel="0" collapsed="false">
      <c r="A1" s="2" t="s">
        <v>66</v>
      </c>
    </row>
    <row r="3" customFormat="false" ht="15" hidden="false" customHeight="true" outlineLevel="0" collapsed="false">
      <c r="A3" s="4" t="s">
        <v>67</v>
      </c>
      <c r="B3" s="4" t="s">
        <v>68</v>
      </c>
      <c r="C3" s="4" t="s">
        <v>69</v>
      </c>
    </row>
    <row r="4" customFormat="false" ht="15" hidden="false" customHeight="true" outlineLevel="0" collapsed="false">
      <c r="A4" s="3" t="s">
        <v>70</v>
      </c>
      <c r="B4" s="13" t="n">
        <f aca="false">'Recurring costs'!F19</f>
        <v>4061.24</v>
      </c>
      <c r="C4" s="13" t="n">
        <f aca="false">'Recurring costs'!H19</f>
        <v>2833.24</v>
      </c>
    </row>
    <row r="5" customFormat="false" ht="15" hidden="false" customHeight="true" outlineLevel="0" collapsed="false">
      <c r="A5" s="3" t="s">
        <v>71</v>
      </c>
      <c r="B5" s="13" t="n">
        <f aca="false">B4/(1-Assumptions!$B$8)-B4</f>
        <v>451.248888888888</v>
      </c>
      <c r="C5" s="13" t="n">
        <f aca="false">C4/(1-Assumptions!$B$8)-C4</f>
        <v>314.804444444444</v>
      </c>
    </row>
    <row r="6" customFormat="false" ht="15" hidden="false" customHeight="true" outlineLevel="0" collapsed="false">
      <c r="A6" s="3" t="s">
        <v>13</v>
      </c>
      <c r="B6" s="13" t="n">
        <f aca="false">(B4+B5)*Assumptions!$B$9</f>
        <v>451.248888888889</v>
      </c>
      <c r="C6" s="13" t="n">
        <f aca="false">(C4+C5)*Assumptions!$B$9</f>
        <v>314.804444444444</v>
      </c>
    </row>
    <row r="7" customFormat="false" ht="15" hidden="false" customHeight="true" outlineLevel="0" collapsed="false">
      <c r="A7" s="18" t="s">
        <v>72</v>
      </c>
      <c r="B7" s="19" t="n">
        <f aca="false">SUM(B4:B6)</f>
        <v>4963.73777777778</v>
      </c>
      <c r="C7" s="19" t="n">
        <f aca="false">SUM(C4:C6)</f>
        <v>3462.84888888889</v>
      </c>
    </row>
    <row r="9" customFormat="false" ht="15" hidden="false" customHeight="true" outlineLevel="0" collapsed="false">
      <c r="A9" s="18" t="s">
        <v>73</v>
      </c>
    </row>
    <row r="10" customFormat="false" ht="15" hidden="false" customHeight="true" outlineLevel="0" collapsed="false">
      <c r="A10" s="4" t="s">
        <v>26</v>
      </c>
      <c r="B10" s="4" t="s">
        <v>74</v>
      </c>
      <c r="C10" s="4" t="s">
        <v>4</v>
      </c>
    </row>
    <row r="11" customFormat="false" ht="15" hidden="false" customHeight="true" outlineLevel="0" collapsed="false">
      <c r="A11" s="3" t="s">
        <v>75</v>
      </c>
      <c r="B11" s="20" t="n">
        <v>99</v>
      </c>
      <c r="C11" s="3" t="s">
        <v>76</v>
      </c>
    </row>
    <row r="12" customFormat="false" ht="15" hidden="false" customHeight="true" outlineLevel="0" collapsed="false">
      <c r="A12" s="3" t="s">
        <v>77</v>
      </c>
      <c r="B12" s="21" t="n">
        <f aca="false">Assumptions!$B$12</f>
        <v>600</v>
      </c>
      <c r="C12" s="3" t="s">
        <v>78</v>
      </c>
    </row>
    <row r="13" customFormat="false" ht="15" hidden="false" customHeight="true" outlineLevel="0" collapsed="false">
      <c r="A13" s="3" t="s">
        <v>79</v>
      </c>
      <c r="B13" s="20" t="n">
        <v>0</v>
      </c>
      <c r="C13" s="3" t="s">
        <v>80</v>
      </c>
    </row>
    <row r="14" customFormat="false" ht="15" hidden="false" customHeight="true" outlineLevel="0" collapsed="false">
      <c r="A14" s="18" t="s">
        <v>81</v>
      </c>
      <c r="B14" s="19" t="n">
        <f aca="false">SUM(B11:B13)</f>
        <v>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30"/>
    <col collapsed="false" customWidth="true" hidden="false" outlineLevel="0" max="6" min="6" style="1" width="22"/>
    <col collapsed="false" customWidth="true" hidden="false" outlineLevel="0" max="7" min="7" style="1" width="30"/>
  </cols>
  <sheetData>
    <row r="1" customFormat="false" ht="15" hidden="false" customHeight="true" outlineLevel="0" collapsed="false">
      <c r="A1" s="2" t="s">
        <v>82</v>
      </c>
    </row>
    <row r="2" customFormat="false" ht="90.75" hidden="false" customHeight="true" outlineLevel="0" collapsed="false">
      <c r="A2" s="15" t="s">
        <v>83</v>
      </c>
    </row>
    <row r="4" customFormat="false" ht="23.25" hidden="false" customHeight="true" outlineLevel="0" collapsed="false">
      <c r="A4" s="22" t="s">
        <v>84</v>
      </c>
      <c r="B4" s="22" t="s">
        <v>85</v>
      </c>
      <c r="C4" s="22" t="s">
        <v>86</v>
      </c>
      <c r="D4" s="22" t="s">
        <v>87</v>
      </c>
      <c r="E4" s="22" t="s">
        <v>88</v>
      </c>
      <c r="F4" s="22" t="s">
        <v>89</v>
      </c>
      <c r="G4" s="22" t="s">
        <v>90</v>
      </c>
    </row>
    <row r="5" customFormat="false" ht="15" hidden="false" customHeight="true" outlineLevel="0" collapsed="false">
      <c r="A5" s="3" t="s">
        <v>91</v>
      </c>
      <c r="B5" s="5" t="n">
        <v>1</v>
      </c>
      <c r="C5" s="5" t="n">
        <v>1</v>
      </c>
      <c r="D5" s="13" t="n">
        <f aca="false">IF($B$9=0,0,'Annual total'!$B$7*C5/$B$9)</f>
        <v>827.289629629629</v>
      </c>
      <c r="E5" s="13" t="n">
        <f aca="false">IF($B$9=0,0,'Annual total'!$C$7*C5/$B$9)</f>
        <v>577.141481481482</v>
      </c>
      <c r="F5" s="13" t="n">
        <f aca="false">D5*B5</f>
        <v>827.289629629629</v>
      </c>
      <c r="G5" s="13" t="n">
        <f aca="false">E5*B5</f>
        <v>577.141481481482</v>
      </c>
    </row>
    <row r="6" customFormat="false" ht="15" hidden="false" customHeight="true" outlineLevel="0" collapsed="false">
      <c r="A6" s="3" t="s">
        <v>92</v>
      </c>
      <c r="B6" s="5" t="n">
        <v>1</v>
      </c>
      <c r="C6" s="5" t="n">
        <v>2</v>
      </c>
      <c r="D6" s="13" t="n">
        <f aca="false">IF($B$9=0,0,'Annual total'!$B$7*C6/$B$9)</f>
        <v>1654.57925925926</v>
      </c>
      <c r="E6" s="13" t="n">
        <f aca="false">IF($B$9=0,0,'Annual total'!$C$7*C6/$B$9)</f>
        <v>1154.28296296296</v>
      </c>
      <c r="F6" s="13" t="n">
        <f aca="false">D6*B6</f>
        <v>1654.57925925926</v>
      </c>
      <c r="G6" s="13" t="n">
        <f aca="false">E6*B6</f>
        <v>1154.28296296296</v>
      </c>
    </row>
    <row r="7" customFormat="false" ht="15" hidden="false" customHeight="true" outlineLevel="0" collapsed="false">
      <c r="A7" s="3" t="s">
        <v>93</v>
      </c>
      <c r="B7" s="5" t="n">
        <v>1</v>
      </c>
      <c r="C7" s="5" t="n">
        <v>3</v>
      </c>
      <c r="D7" s="13" t="n">
        <f aca="false">IF($B$9=0,0,'Annual total'!$B$7*C7/$B$9)</f>
        <v>2481.86888888889</v>
      </c>
      <c r="E7" s="13" t="n">
        <f aca="false">IF($B$9=0,0,'Annual total'!$C$7*C7/$B$9)</f>
        <v>1731.42444444444</v>
      </c>
      <c r="F7" s="13" t="n">
        <f aca="false">D7*B7</f>
        <v>2481.86888888889</v>
      </c>
      <c r="G7" s="13" t="n">
        <f aca="false">E7*B7</f>
        <v>1731.42444444444</v>
      </c>
    </row>
    <row r="8" customFormat="false" ht="15" hidden="false" customHeight="true" outlineLevel="0" collapsed="false">
      <c r="A8" s="18" t="s">
        <v>94</v>
      </c>
      <c r="B8" s="18" t="n">
        <f aca="false">SUM(B5:B7)</f>
        <v>3</v>
      </c>
    </row>
    <row r="9" customFormat="false" ht="15" hidden="false" customHeight="true" outlineLevel="0" collapsed="false">
      <c r="A9" s="18" t="s">
        <v>95</v>
      </c>
      <c r="B9" s="18" t="n">
        <f aca="false">SUMPRODUCT(B5:B7,C5:C7)</f>
        <v>6</v>
      </c>
    </row>
    <row r="10" customFormat="false" ht="15" hidden="false" customHeight="true" outlineLevel="0" collapsed="false">
      <c r="A10" s="18" t="s">
        <v>96</v>
      </c>
      <c r="F10" s="19" t="n">
        <f aca="false">SUM(F5:F7)</f>
        <v>4963.73777777778</v>
      </c>
      <c r="G10" s="19" t="n">
        <f aca="false">SUM(G5:G7)</f>
        <v>3462.84888888889</v>
      </c>
    </row>
    <row r="12" customFormat="false" ht="15" hidden="false" customHeight="true" outlineLevel="0" collapsed="false">
      <c r="A12" s="3"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5" hidden="false" customHeight="true" outlineLevel="0" collapsed="false">
      <c r="A1" s="2" t="s">
        <v>98</v>
      </c>
    </row>
    <row r="3" customFormat="false" ht="15" hidden="false" customHeight="true" outlineLevel="0" collapsed="false">
      <c r="A3" s="4" t="s">
        <v>99</v>
      </c>
      <c r="B3" s="4" t="s">
        <v>100</v>
      </c>
    </row>
    <row r="4" customFormat="false" ht="23.25" hidden="false" customHeight="true" outlineLevel="0" collapsed="false">
      <c r="A4" s="3" t="s">
        <v>101</v>
      </c>
      <c r="B4" s="15" t="s">
        <v>102</v>
      </c>
    </row>
    <row r="5" customFormat="false" ht="23.25" hidden="false" customHeight="true" outlineLevel="0" collapsed="false">
      <c r="A5" s="3" t="s">
        <v>103</v>
      </c>
      <c r="B5" s="15" t="s">
        <v>104</v>
      </c>
    </row>
    <row r="6" customFormat="false" ht="15" hidden="false" customHeight="true" outlineLevel="0" collapsed="false">
      <c r="A6" s="3" t="s">
        <v>105</v>
      </c>
      <c r="B6" s="15" t="s">
        <v>106</v>
      </c>
    </row>
    <row r="7" customFormat="false" ht="15" hidden="false" customHeight="true" outlineLevel="0" collapsed="false">
      <c r="A7" s="3" t="s">
        <v>107</v>
      </c>
      <c r="B7" s="15" t="s">
        <v>108</v>
      </c>
    </row>
    <row r="8" customFormat="false" ht="15" hidden="false" customHeight="true" outlineLevel="0" collapsed="false">
      <c r="A8" s="3" t="s">
        <v>109</v>
      </c>
      <c r="B8" s="15" t="s">
        <v>110</v>
      </c>
    </row>
    <row r="9" customFormat="false" ht="15" hidden="false" customHeight="true" outlineLevel="0" collapsed="false">
      <c r="A9" s="3" t="s">
        <v>111</v>
      </c>
      <c r="B9" s="15" t="s">
        <v>112</v>
      </c>
    </row>
    <row r="10" customFormat="false" ht="15" hidden="false" customHeight="true" outlineLevel="0" collapsed="false">
      <c r="A10" s="3" t="s">
        <v>113</v>
      </c>
      <c r="B10" s="15" t="s">
        <v>114</v>
      </c>
    </row>
    <row r="11" customFormat="false" ht="15" hidden="false" customHeight="true" outlineLevel="0" collapsed="false">
      <c r="A11" s="3" t="s">
        <v>11</v>
      </c>
      <c r="B11" s="15" t="s">
        <v>115</v>
      </c>
    </row>
    <row r="12" customFormat="false" ht="15" hidden="false" customHeight="true" outlineLevel="0" collapsed="false">
      <c r="A12" s="3" t="s">
        <v>116</v>
      </c>
      <c r="B12" s="15" t="s">
        <v>117</v>
      </c>
    </row>
    <row r="13" customFormat="false" ht="15" hidden="false" customHeight="true" outlineLevel="0" collapsed="false">
      <c r="A13" s="3" t="s">
        <v>118</v>
      </c>
      <c r="B13" s="15" t="s">
        <v>119</v>
      </c>
    </row>
    <row r="14" customFormat="false" ht="15" hidden="false" customHeight="true" outlineLevel="0" collapsed="false">
      <c r="A14" s="3" t="s">
        <v>120</v>
      </c>
      <c r="B14" s="15"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9" min="7" style="0" width="18"/>
    <col collapsed="false" customWidth="true" hidden="false" outlineLevel="0" max="10" min="10" style="0" width="60"/>
  </cols>
  <sheetData>
    <row r="1" customFormat="false" ht="15" hidden="false" customHeight="false" outlineLevel="0" collapsed="false">
      <c r="A1" s="23" t="s">
        <v>122</v>
      </c>
    </row>
    <row r="2" customFormat="false" ht="31.5" hidden="false" customHeight="true" outlineLevel="0" collapsed="false">
      <c r="A2" s="24" t="s">
        <v>123</v>
      </c>
      <c r="B2" s="24"/>
      <c r="C2" s="24"/>
      <c r="D2" s="24"/>
      <c r="E2" s="24"/>
      <c r="F2" s="24"/>
      <c r="G2" s="24"/>
      <c r="H2" s="24"/>
      <c r="I2" s="24"/>
      <c r="J2" s="24"/>
    </row>
    <row r="4" customFormat="false" ht="15" hidden="false" customHeight="false" outlineLevel="0" collapsed="false">
      <c r="A4" s="10" t="s">
        <v>26</v>
      </c>
      <c r="B4" s="10" t="s">
        <v>27</v>
      </c>
      <c r="C4" s="10" t="s">
        <v>29</v>
      </c>
      <c r="D4" s="10" t="s">
        <v>124</v>
      </c>
      <c r="E4" s="10" t="s">
        <v>125</v>
      </c>
      <c r="F4" s="10" t="s">
        <v>126</v>
      </c>
      <c r="G4" s="10" t="s">
        <v>127</v>
      </c>
      <c r="H4" s="10" t="s">
        <v>128</v>
      </c>
      <c r="I4" s="10" t="s">
        <v>129</v>
      </c>
      <c r="J4" s="10" t="s">
        <v>4</v>
      </c>
    </row>
    <row r="5" customFormat="false" ht="15" hidden="false" customHeight="false" outlineLevel="0" collapsed="false">
      <c r="A5" s="25" t="s">
        <v>130</v>
      </c>
      <c r="B5" s="26" t="n">
        <v>24</v>
      </c>
      <c r="C5" s="27" t="n">
        <v>12</v>
      </c>
      <c r="D5" s="27" t="n">
        <v>1</v>
      </c>
      <c r="E5" s="27" t="n">
        <v>1</v>
      </c>
      <c r="F5" s="27" t="n">
        <v>1</v>
      </c>
      <c r="G5" s="28" t="n">
        <f aca="false">$B5*D5*$C5</f>
        <v>288</v>
      </c>
      <c r="H5" s="28" t="n">
        <f aca="false">$B5*E5*$C5</f>
        <v>288</v>
      </c>
      <c r="I5" s="28" t="n">
        <f aca="false">$B5*F5*$C5</f>
        <v>288</v>
      </c>
      <c r="J5" s="15" t="s">
        <v>131</v>
      </c>
    </row>
    <row r="6" customFormat="false" ht="15" hidden="false" customHeight="false" outlineLevel="0" collapsed="false">
      <c r="A6" s="25" t="s">
        <v>132</v>
      </c>
      <c r="B6" s="26" t="n">
        <v>4.8</v>
      </c>
      <c r="C6" s="27" t="n">
        <v>12</v>
      </c>
      <c r="D6" s="27" t="n">
        <v>1</v>
      </c>
      <c r="E6" s="27" t="n">
        <v>1</v>
      </c>
      <c r="F6" s="27" t="n">
        <v>1</v>
      </c>
      <c r="G6" s="28" t="n">
        <f aca="false">$B6*D6*$C6</f>
        <v>57.6</v>
      </c>
      <c r="H6" s="28" t="n">
        <f aca="false">$B6*E6*$C6</f>
        <v>57.6</v>
      </c>
      <c r="I6" s="28" t="n">
        <f aca="false">$B6*F6*$C6</f>
        <v>57.6</v>
      </c>
      <c r="J6" s="15" t="s">
        <v>133</v>
      </c>
    </row>
    <row r="7" customFormat="false" ht="15" hidden="false" customHeight="false" outlineLevel="0" collapsed="false">
      <c r="A7" s="25" t="s">
        <v>134</v>
      </c>
      <c r="B7" s="26" t="n">
        <v>12</v>
      </c>
      <c r="C7" s="27" t="n">
        <v>12</v>
      </c>
      <c r="D7" s="27" t="n">
        <v>1</v>
      </c>
      <c r="E7" s="27" t="n">
        <v>1</v>
      </c>
      <c r="F7" s="27" t="n">
        <v>1</v>
      </c>
      <c r="G7" s="28" t="n">
        <f aca="false">$B7*D7*$C7</f>
        <v>144</v>
      </c>
      <c r="H7" s="28" t="n">
        <f aca="false">$B7*E7*$C7</f>
        <v>144</v>
      </c>
      <c r="I7" s="28" t="n">
        <f aca="false">$B7*F7*$C7</f>
        <v>144</v>
      </c>
      <c r="J7" s="15" t="s">
        <v>135</v>
      </c>
    </row>
    <row r="8" customFormat="false" ht="23.85" hidden="false" customHeight="false" outlineLevel="0" collapsed="false">
      <c r="A8" s="25" t="s">
        <v>136</v>
      </c>
      <c r="B8" s="26" t="n">
        <v>15</v>
      </c>
      <c r="C8" s="27" t="n">
        <v>12</v>
      </c>
      <c r="D8" s="27" t="n">
        <v>1</v>
      </c>
      <c r="E8" s="27" t="n">
        <v>1</v>
      </c>
      <c r="F8" s="27" t="n">
        <v>1</v>
      </c>
      <c r="G8" s="28" t="n">
        <f aca="false">$B8*D8*$C8</f>
        <v>180</v>
      </c>
      <c r="H8" s="28" t="n">
        <f aca="false">$B8*E8*$C8</f>
        <v>180</v>
      </c>
      <c r="I8" s="28" t="n">
        <f aca="false">$B8*F8*$C8</f>
        <v>180</v>
      </c>
      <c r="J8" s="15" t="s">
        <v>137</v>
      </c>
    </row>
    <row r="9" customFormat="false" ht="15" hidden="false" customHeight="false" outlineLevel="0" collapsed="false">
      <c r="A9" s="25" t="s">
        <v>138</v>
      </c>
      <c r="B9" s="26" t="n">
        <v>11</v>
      </c>
      <c r="C9" s="27" t="n">
        <v>1</v>
      </c>
      <c r="D9" s="27" t="n">
        <v>1</v>
      </c>
      <c r="E9" s="27" t="n">
        <v>1</v>
      </c>
      <c r="F9" s="27" t="n">
        <v>1</v>
      </c>
      <c r="G9" s="28" t="n">
        <f aca="false">$B9*D9*$C9</f>
        <v>11</v>
      </c>
      <c r="H9" s="28" t="n">
        <f aca="false">$B9*E9*$C9</f>
        <v>11</v>
      </c>
      <c r="I9" s="28" t="n">
        <f aca="false">$B9*F9*$C9</f>
        <v>11</v>
      </c>
      <c r="J9" s="15" t="s">
        <v>139</v>
      </c>
    </row>
    <row r="10" customFormat="false" ht="15" hidden="false" customHeight="false" outlineLevel="0" collapsed="false">
      <c r="A10" s="25" t="s">
        <v>140</v>
      </c>
      <c r="B10" s="26" t="n">
        <v>0</v>
      </c>
      <c r="C10" s="27" t="n">
        <v>1</v>
      </c>
      <c r="D10" s="27" t="n">
        <v>1</v>
      </c>
      <c r="E10" s="27" t="n">
        <v>1</v>
      </c>
      <c r="F10" s="27" t="n">
        <v>1</v>
      </c>
      <c r="G10" s="28" t="n">
        <f aca="false">$B10*D10*$C10</f>
        <v>0</v>
      </c>
      <c r="H10" s="28" t="n">
        <f aca="false">$B10*E10*$C10</f>
        <v>0</v>
      </c>
      <c r="I10" s="28" t="n">
        <f aca="false">$B10*F10*$C10</f>
        <v>0</v>
      </c>
      <c r="J10" s="15" t="s">
        <v>57</v>
      </c>
    </row>
    <row r="11" customFormat="false" ht="15" hidden="false" customHeight="false" outlineLevel="0" collapsed="false">
      <c r="A11" s="25" t="s">
        <v>141</v>
      </c>
      <c r="B11" s="26" t="n">
        <v>0</v>
      </c>
      <c r="C11" s="27" t="n">
        <v>12</v>
      </c>
      <c r="D11" s="27" t="n">
        <v>4</v>
      </c>
      <c r="E11" s="27" t="n">
        <v>10</v>
      </c>
      <c r="F11" s="27" t="n">
        <v>20</v>
      </c>
      <c r="G11" s="28" t="n">
        <f aca="false">$B11*D11*$C11</f>
        <v>0</v>
      </c>
      <c r="H11" s="28" t="n">
        <f aca="false">$B11*E11*$C11</f>
        <v>0</v>
      </c>
      <c r="I11" s="28" t="n">
        <f aca="false">$B11*F11*$C11</f>
        <v>0</v>
      </c>
      <c r="J11" s="15" t="s">
        <v>142</v>
      </c>
    </row>
    <row r="12" customFormat="false" ht="15" hidden="false" customHeight="false" outlineLevel="0" collapsed="false">
      <c r="A12" s="25" t="s">
        <v>143</v>
      </c>
      <c r="B12" s="26" t="n">
        <v>0</v>
      </c>
      <c r="C12" s="27" t="n">
        <v>12</v>
      </c>
      <c r="D12" s="27" t="n">
        <v>10</v>
      </c>
      <c r="E12" s="27" t="n">
        <v>40</v>
      </c>
      <c r="F12" s="27" t="n">
        <v>100</v>
      </c>
      <c r="G12" s="28" t="n">
        <f aca="false">$B12*D12*$C12</f>
        <v>0</v>
      </c>
      <c r="H12" s="28" t="n">
        <f aca="false">$B12*E12*$C12</f>
        <v>0</v>
      </c>
      <c r="I12" s="28" t="n">
        <f aca="false">$B12*F12*$C12</f>
        <v>0</v>
      </c>
      <c r="J12" s="15" t="s">
        <v>144</v>
      </c>
    </row>
    <row r="13" customFormat="false" ht="15" hidden="false" customHeight="false" outlineLevel="0" collapsed="false">
      <c r="A13" s="25" t="s">
        <v>145</v>
      </c>
      <c r="B13" s="26" t="n">
        <v>295</v>
      </c>
      <c r="C13" s="27" t="n">
        <v>1</v>
      </c>
      <c r="D13" s="27" t="n">
        <v>1</v>
      </c>
      <c r="E13" s="27" t="n">
        <v>1</v>
      </c>
      <c r="F13" s="27" t="n">
        <v>1</v>
      </c>
      <c r="G13" s="28" t="n">
        <f aca="false">$B13*D13*$C13</f>
        <v>295</v>
      </c>
      <c r="H13" s="28" t="n">
        <f aca="false">$B13*E13*$C13</f>
        <v>295</v>
      </c>
      <c r="I13" s="28" t="n">
        <f aca="false">$B13*F13*$C13</f>
        <v>295</v>
      </c>
      <c r="J13" s="15" t="s">
        <v>146</v>
      </c>
    </row>
    <row r="14" customFormat="false" ht="15" hidden="false" customHeight="false" outlineLevel="0" collapsed="false">
      <c r="A14" s="25" t="s">
        <v>147</v>
      </c>
      <c r="B14" s="26" t="n">
        <v>0</v>
      </c>
      <c r="C14" s="27" t="n">
        <v>1</v>
      </c>
      <c r="D14" s="27" t="n">
        <v>1</v>
      </c>
      <c r="E14" s="27" t="n">
        <v>1</v>
      </c>
      <c r="F14" s="27" t="n">
        <v>1</v>
      </c>
      <c r="G14" s="28" t="n">
        <f aca="false">$B14*D14*$C14</f>
        <v>0</v>
      </c>
      <c r="H14" s="28" t="n">
        <f aca="false">$B14*E14*$C14</f>
        <v>0</v>
      </c>
      <c r="I14" s="28" t="n">
        <f aca="false">$B14*F14*$C14</f>
        <v>0</v>
      </c>
      <c r="J14" s="15" t="s">
        <v>148</v>
      </c>
    </row>
    <row r="15" customFormat="false" ht="15" hidden="false" customHeight="false" outlineLevel="0" collapsed="false">
      <c r="A15" s="25" t="s">
        <v>149</v>
      </c>
      <c r="B15" s="26" t="n">
        <v>4.49</v>
      </c>
      <c r="C15" s="27" t="n">
        <v>12</v>
      </c>
      <c r="D15" s="27" t="n">
        <v>3</v>
      </c>
      <c r="E15" s="27" t="n">
        <v>3</v>
      </c>
      <c r="F15" s="27" t="n">
        <v>5</v>
      </c>
      <c r="G15" s="28" t="n">
        <f aca="false">$B15*D15*$C15</f>
        <v>161.64</v>
      </c>
      <c r="H15" s="28" t="n">
        <f aca="false">$B15*E15*$C15</f>
        <v>161.64</v>
      </c>
      <c r="I15" s="28" t="n">
        <f aca="false">$B15*F15*$C15</f>
        <v>269.4</v>
      </c>
      <c r="J15" s="15" t="s">
        <v>150</v>
      </c>
    </row>
    <row r="16" customFormat="false" ht="15" hidden="false" customHeight="false" outlineLevel="0" collapsed="false">
      <c r="A16" s="25" t="s">
        <v>151</v>
      </c>
      <c r="B16" s="26" t="n">
        <v>16</v>
      </c>
      <c r="C16" s="27" t="n">
        <v>12</v>
      </c>
      <c r="D16" s="27" t="n">
        <v>0</v>
      </c>
      <c r="E16" s="27" t="n">
        <v>1</v>
      </c>
      <c r="F16" s="27" t="n">
        <v>1</v>
      </c>
      <c r="G16" s="28" t="n">
        <f aca="false">$B16*D16*$C16</f>
        <v>0</v>
      </c>
      <c r="H16" s="28" t="n">
        <f aca="false">$B16*E16*$C16</f>
        <v>192</v>
      </c>
      <c r="I16" s="28" t="n">
        <f aca="false">$B16*F16*$C16</f>
        <v>192</v>
      </c>
      <c r="J16" s="15" t="s">
        <v>152</v>
      </c>
    </row>
    <row r="17" customFormat="false" ht="15" hidden="false" customHeight="false" outlineLevel="0" collapsed="false">
      <c r="A17" s="29" t="s">
        <v>153</v>
      </c>
      <c r="G17" s="30" t="n">
        <f aca="false">SUM(G5:G16)</f>
        <v>1137.24</v>
      </c>
      <c r="H17" s="30" t="n">
        <f aca="false">SUM(H5:H16)</f>
        <v>1329.24</v>
      </c>
      <c r="I17" s="30" t="n">
        <f aca="false">SUM(I5:I16)</f>
        <v>1437</v>
      </c>
    </row>
    <row r="19" customFormat="false" ht="15" hidden="false" customHeight="false" outlineLevel="0" collapsed="false">
      <c r="A19" s="29" t="s">
        <v>154</v>
      </c>
    </row>
    <row r="20" customFormat="false" ht="15" hidden="false" customHeight="false" outlineLevel="0" collapsed="false">
      <c r="A20" s="25" t="s">
        <v>155</v>
      </c>
      <c r="G20" s="28" t="n">
        <f aca="false">7*12*(D11+D12)</f>
        <v>1176</v>
      </c>
      <c r="H20" s="28" t="n">
        <f aca="false">7*12*(E11+E12)</f>
        <v>4200</v>
      </c>
      <c r="I20" s="28" t="n">
        <f aca="false">7*12*(F11+F12)</f>
        <v>10080</v>
      </c>
    </row>
    <row r="21" customFormat="false" ht="15" hidden="false" customHeight="false" outlineLevel="0" collapsed="false">
      <c r="A21" s="25" t="s">
        <v>156</v>
      </c>
      <c r="G21" s="28" t="n">
        <f aca="false">395-295</f>
        <v>100</v>
      </c>
      <c r="H21" s="28" t="n">
        <f aca="false">395-295</f>
        <v>100</v>
      </c>
      <c r="I21" s="28" t="n">
        <f aca="false">395-295</f>
        <v>100</v>
      </c>
    </row>
    <row r="22" customFormat="false" ht="15" hidden="false" customHeight="false" outlineLevel="0" collapsed="false">
      <c r="A22" s="29" t="s">
        <v>157</v>
      </c>
      <c r="G22" s="30" t="n">
        <f aca="false">G17+G20+G21</f>
        <v>2413.24</v>
      </c>
      <c r="H22" s="30" t="n">
        <f aca="false">H17+H20+H21</f>
        <v>5629.24</v>
      </c>
      <c r="I22" s="30" t="n">
        <f aca="false">I17+I20+I21</f>
        <v>11617</v>
      </c>
    </row>
    <row r="24" customFormat="false" ht="15" hidden="false" customHeight="false" outlineLevel="0" collapsed="false">
      <c r="A24" s="25" t="s">
        <v>158</v>
      </c>
    </row>
    <row r="25" customFormat="false" ht="15" hidden="false" customHeight="false" outlineLevel="0" collapsed="false">
      <c r="A25" s="25" t="s">
        <v>159</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2026-09-20T17:17:50Z</dcterms:created>
  <dc:creator>openpyxl</dc:creator>
  <dc:description/>
  <dc:language>en-US</dc:language>
  <cp:lastModifiedBy/>
  <dcterms:modified xsi:type="dcterms:W3CDTF">2026-09-22T14:08:36Z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